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Orientações" sheetId="1" state="visible" r:id="rId1"/>
    <sheet xmlns:r="http://schemas.openxmlformats.org/officeDocument/2006/relationships" name="Riscos" sheetId="2" state="visible" r:id="rId2"/>
    <sheet xmlns:r="http://schemas.openxmlformats.org/officeDocument/2006/relationships" name="Exemp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</font>
    <font>
      <name val="Montserrat"/>
      <b val="1"/>
      <color theme="1"/>
      <sz val="10"/>
    </font>
    <font>
      <name val="Arial"/>
      <sz val="10"/>
    </font>
    <font>
      <name val="Arial"/>
      <b val="1"/>
      <color theme="1"/>
      <sz val="10"/>
    </font>
    <font>
      <name val="Arial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Arial"/>
      <b val="1"/>
      <color rgb="FFFFFFFF"/>
      <sz val="9"/>
    </font>
    <font>
      <name val="Arial"/>
      <b val="1"/>
      <color rgb="FF000000"/>
      <sz val="9"/>
    </font>
    <font>
      <name val="Arial"/>
      <i val="1"/>
      <sz val="9"/>
    </font>
    <font>
      <name val="Arial"/>
      <b val="1"/>
      <sz val="13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</patternFill>
    </fill>
    <fill>
      <patternFill patternType="solid">
        <fgColor rgb="FF999999"/>
      </patternFill>
    </fill>
  </fills>
  <borders count="26">
    <border>
      <left/>
      <right/>
      <top/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3" fillId="0" borderId="0" pivotButton="0" quotePrefix="0" xfId="0"/>
    <xf numFmtId="0" fontId="3" fillId="3" borderId="4" applyAlignment="1" pivotButton="0" quotePrefix="0" xfId="0">
      <alignment horizontal="center"/>
    </xf>
    <xf numFmtId="0" fontId="3" fillId="3" borderId="5" applyAlignment="1" pivotButton="0" quotePrefix="0" xfId="0">
      <alignment horizontal="center"/>
    </xf>
    <xf numFmtId="0" fontId="4" fillId="0" borderId="0" pivotButton="0" quotePrefix="0" xfId="0"/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4" borderId="11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1" fillId="8" borderId="0" pivotButton="0" quotePrefix="0" xfId="0"/>
    <xf numFmtId="0" fontId="7" fillId="4" borderId="0" applyAlignment="1" pivotButton="0" quotePrefix="0" xfId="0">
      <alignment horizontal="center" vertical="center"/>
    </xf>
    <xf numFmtId="0" fontId="9" fillId="0" borderId="0" pivotButton="0" quotePrefix="0" xfId="0"/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4" fillId="0" borderId="7" applyAlignment="1" pivotButton="0" quotePrefix="0" xfId="0">
      <alignment vertical="center" wrapText="1"/>
    </xf>
    <xf numFmtId="0" fontId="12" fillId="0" borderId="0" applyAlignment="1" pivotButton="0" quotePrefix="0" xfId="0">
      <alignment vertical="top" wrapText="1"/>
    </xf>
    <xf numFmtId="0" fontId="0" fillId="0" borderId="0" pivotButton="0" quotePrefix="0" xfId="0"/>
    <xf numFmtId="0" fontId="10" fillId="7" borderId="0" pivotButton="0" quotePrefix="0" xfId="0"/>
    <xf numFmtId="0" fontId="3" fillId="0" borderId="13" pivotButton="0" quotePrefix="0" xfId="0"/>
    <xf numFmtId="0" fontId="7" fillId="6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3" fillId="0" borderId="5" pivotButton="0" quotePrefix="0" xfId="0"/>
    <xf numFmtId="0" fontId="0" fillId="0" borderId="3" pivotButton="0" quotePrefix="0" xfId="0"/>
    <xf numFmtId="0" fontId="0" fillId="0" borderId="8" pivotButton="0" quotePrefix="0" xfId="0"/>
    <xf numFmtId="0" fontId="4" fillId="0" borderId="10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4" fillId="0" borderId="5" pivotButton="0" quotePrefix="0" xfId="0"/>
    <xf numFmtId="0" fontId="2" fillId="0" borderId="0" applyAlignment="1" pivotButton="0" quotePrefix="0" xfId="0">
      <alignment vertical="top" wrapText="1"/>
    </xf>
    <xf numFmtId="0" fontId="0" fillId="0" borderId="17" pivotButton="0" quotePrefix="0" xfId="0"/>
    <xf numFmtId="0" fontId="0" fillId="0" borderId="18" pivotButton="0" quotePrefix="0" xfId="0"/>
  </cellXfs>
  <cellStyles count="1">
    <cellStyle name="Normal" xfId="0" builtinId="0"/>
  </cellStyles>
  <dxfs count="9"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None</author>
  </authors>
  <commentList>
    <comment ref="I7" authorId="0" shapeId="0">
      <text>
        <t>Risco = P x S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I6" authorId="0" shapeId="0">
      <text>
        <t>Risco = P x S</t>
      </text>
    </comment>
    <comment ref="I13" authorId="0" shapeId="0">
      <text>
        <t>Risco = P x 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285750</colOff>
      <row>27</row>
      <rowOff>47625</rowOff>
    </from>
    <ext cx="6076950" cy="4562475"/>
    <pic>
      <nvPicPr>
        <cNvPr id="2" name="image1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47"/>
  <sheetViews>
    <sheetView showGridLines="0" tabSelected="1" workbookViewId="0">
      <selection activeCell="B48" sqref="B48"/>
    </sheetView>
  </sheetViews>
  <sheetFormatPr baseColWidth="8" defaultRowHeight="13.2"/>
  <cols>
    <col width="3" customWidth="1" style="22" min="1" max="1"/>
    <col width="26" customWidth="1" style="22" min="2" max="2"/>
    <col width="95" customWidth="1" style="22" min="3" max="3"/>
  </cols>
  <sheetData>
    <row r="2" ht="16.8" customHeight="1" s="22">
      <c r="B2" s="23" t="inlineStr">
        <is>
          <t>ATIVIDADE 0.3 – ANÁLISE DE RISCOS BASEADA EM DEFEITOS</t>
        </is>
      </c>
    </row>
    <row r="3" ht="48" customHeight="1" s="22">
      <c r="B3" s="13" t="inlineStr">
        <is>
          <t>Como funciona</t>
        </is>
      </c>
      <c r="C3" s="14" t="inlineStr">
        <is>
          <t>Cada equipe escolhe 3 atributos de qualidade para o projeto (ex.: Segurança, Confiabilidade, Usabilidade, Desempenho). Cada integrante identifica, analisa e define a resposta para 1 risco por atributo. Equipe de 3 = 9 riscos; equipe de 2 = 6 riscos.</t>
        </is>
      </c>
    </row>
    <row r="4" ht="34.05" customHeight="1" s="22">
      <c r="B4" s="13" t="inlineStr">
        <is>
          <t>Onde preencher</t>
        </is>
      </c>
      <c r="C4" s="14" t="inlineStr">
        <is>
          <t>Aba "Riscos": um bloco por atributo de qualidade, uma linha por integrante. Troque &lt;&lt; Nome do Sistema &gt;&gt; e &lt;&lt; Atributo de Qualidade &gt;&gt; em cada bloco. A aba "Exemplo" mostra dois casos preenchidos.</t>
        </is>
      </c>
    </row>
    <row r="6" ht="16.8" customHeight="1" s="22">
      <c r="B6" s="23" t="inlineStr">
        <is>
          <t>PASSO A PASSO</t>
        </is>
      </c>
    </row>
    <row r="7">
      <c r="B7" s="13" t="inlineStr">
        <is>
          <t>1. Atributo (Parâmetro)</t>
        </is>
      </c>
      <c r="C7" s="14" t="inlineStr">
        <is>
          <t>Defina os 3 atributos de qualidade do projeto e escreva-os no cabeçalho de cada bloco.</t>
        </is>
      </c>
    </row>
    <row r="8" ht="34.05" customHeight="1" s="22">
      <c r="B8" s="13" t="inlineStr">
        <is>
          <t>2. Palavra Guia</t>
        </is>
      </c>
      <c r="C8" s="14" t="inlineStr">
        <is>
          <t>Escolha na lista (coluna M) a palavra que orienta o raciocínio do defeito: Nenhum, Mais, Menos, Parte de, Tanto quanto, Reverso, Substituição, Antes, Depois, Mais cedo, Mais tarde.</t>
        </is>
      </c>
    </row>
    <row r="9" ht="34.05" customHeight="1" s="22">
      <c r="B9" s="13" t="inlineStr">
        <is>
          <t>3. Defeito</t>
        </is>
      </c>
      <c r="C9" s="14" t="inlineStr">
        <is>
          <t>Descreva o que pode dar errado no sistema relacionado ao atributo, aplicando a palavra guia. Ex.: "Um produto errado ser entregue ao cliente".</t>
        </is>
      </c>
    </row>
    <row r="10">
      <c r="B10" s="13" t="inlineStr">
        <is>
          <t>4. Causa</t>
        </is>
      </c>
      <c r="C10" s="14" t="inlineStr">
        <is>
          <t>Por que o defeito ocorreria (falha de implementação, de dado, de processo, de integração…).</t>
        </is>
      </c>
    </row>
    <row r="11" ht="34.05" customHeight="1" s="22">
      <c r="B11" s="13" t="inlineStr">
        <is>
          <t>5. Detecção</t>
        </is>
      </c>
      <c r="C11" s="14" t="inlineStr">
        <is>
          <t>Como o defeito seria percebido ou testado (teste funcional, exploratório, revisão, monitoramento, verificação de código…).</t>
        </is>
      </c>
    </row>
    <row r="12">
      <c r="B12" s="13" t="inlineStr">
        <is>
          <t>6. Consequências</t>
        </is>
      </c>
      <c r="C12" s="14" t="inlineStr">
        <is>
          <t>O impacto no usuário e no negócio caso o defeito ocorra.</t>
        </is>
      </c>
    </row>
    <row r="13" ht="26.4" customHeight="1" s="22">
      <c r="B13" s="13" t="inlineStr">
        <is>
          <t>7. P e S</t>
        </is>
      </c>
      <c r="C13" s="14" t="inlineStr">
        <is>
          <t>Atribua P (probabilidade) e S (severidade) de 1 a 5 conforme as escalas abaixo. A coluna Risco é calculada sozinha.</t>
        </is>
      </c>
    </row>
    <row r="14" ht="48" customHeight="1" s="22">
      <c r="B14" s="13" t="inlineStr">
        <is>
          <t>8. Providências</t>
        </is>
      </c>
      <c r="C14" s="14" t="inlineStr">
        <is>
          <t>A ação concreta da equipe para tratar o risco (teste de unidade, validação, monitoramento, mudança de projeto…). Vire uma issue no Azure/ Jira com responsável e sprint.</t>
        </is>
      </c>
    </row>
    <row r="15" ht="34.05" customHeight="1" s="22">
      <c r="B15" s="13" t="inlineStr">
        <is>
          <t>9. Entrega</t>
        </is>
      </c>
      <c r="C15" s="14" t="inlineStr">
        <is>
          <t>Salve a planilha no Jira/ Azure na Epic Risco. Os riscos com estratégia "Evitar" ou "Mitigar" entram no backlog como tarefas.</t>
        </is>
      </c>
    </row>
    <row r="17" ht="16.8" customHeight="1" s="22">
      <c r="B17" s="23" t="inlineStr">
        <is>
          <t>ESCALAS (seguem a matriz de impactos da aba Riscos)</t>
        </is>
      </c>
    </row>
    <row r="18">
      <c r="B18" s="15" t="inlineStr">
        <is>
          <t>P – Probabilidade</t>
        </is>
      </c>
      <c r="C18" s="15" t="inlineStr">
        <is>
          <t>Significado</t>
        </is>
      </c>
    </row>
    <row r="19">
      <c r="B19" s="13" t="inlineStr">
        <is>
          <t>1 – Muito provável</t>
        </is>
      </c>
      <c r="C19" s="14" t="inlineStr">
        <is>
          <t>Deve acontecer; já ocorreu em projetos parecidos</t>
        </is>
      </c>
    </row>
    <row r="20">
      <c r="B20" s="13" t="inlineStr">
        <is>
          <t>2 – Provável</t>
        </is>
      </c>
      <c r="C20" s="14" t="inlineStr">
        <is>
          <t>Acontece com frequência</t>
        </is>
      </c>
    </row>
    <row r="21">
      <c r="B21" s="13" t="inlineStr">
        <is>
          <t>3 – Possível</t>
        </is>
      </c>
      <c r="C21" s="14" t="inlineStr">
        <is>
          <t>Pode acontecer em algum momento</t>
        </is>
      </c>
    </row>
    <row r="22">
      <c r="B22" s="13" t="inlineStr">
        <is>
          <t>4 – Improvável</t>
        </is>
      </c>
      <c r="C22" s="14" t="inlineStr">
        <is>
          <t>Pouco provável, mas possível</t>
        </is>
      </c>
    </row>
    <row r="23">
      <c r="B23" s="13" t="inlineStr">
        <is>
          <t>5 – Muito improvável</t>
        </is>
      </c>
      <c r="C23" s="14" t="inlineStr">
        <is>
          <t>Só em situações excepcionais</t>
        </is>
      </c>
    </row>
    <row r="25">
      <c r="B25" s="15" t="inlineStr">
        <is>
          <t>S – Severidade</t>
        </is>
      </c>
      <c r="C25" s="15" t="inlineStr">
        <is>
          <t>Significado</t>
        </is>
      </c>
    </row>
    <row r="26">
      <c r="B26" s="13" t="inlineStr">
        <is>
          <t>1 – Leve</t>
        </is>
      </c>
      <c r="C26" s="14" t="inlineStr">
        <is>
          <t>Incômodo, sem perda de funcionalidade</t>
        </is>
      </c>
    </row>
    <row r="27">
      <c r="B27" s="13" t="inlineStr">
        <is>
          <t>2 – Menor</t>
        </is>
      </c>
      <c r="C27" s="14" t="inlineStr">
        <is>
          <t>Afeta pouco o uso; contorno simples</t>
        </is>
      </c>
    </row>
    <row r="28">
      <c r="B28" s="13" t="inlineStr">
        <is>
          <t>3 – Significativa</t>
        </is>
      </c>
      <c r="C28" s="14" t="inlineStr">
        <is>
          <t>Compromete uma funcionalidade importante</t>
        </is>
      </c>
    </row>
    <row r="29">
      <c r="B29" s="13" t="inlineStr">
        <is>
          <t>4 – Grave</t>
        </is>
      </c>
      <c r="C29" s="14" t="inlineStr">
        <is>
          <t>Compromete o objetivo do sistema ou causa perdas relevantes</t>
        </is>
      </c>
    </row>
    <row r="30">
      <c r="B30" s="13" t="inlineStr">
        <is>
          <t>5 – Maior</t>
        </is>
      </c>
      <c r="C30" s="14" t="inlineStr">
        <is>
          <t>Inviabiliza o sistema, causa dano grave ou expõe dados</t>
        </is>
      </c>
    </row>
    <row r="32" ht="16.8" customHeight="1" s="22">
      <c r="B32" s="23" t="inlineStr">
        <is>
          <t>COMO LER O RISCO</t>
        </is>
      </c>
    </row>
    <row r="33" ht="34.05" customHeight="1" s="22">
      <c r="B33" s="13" t="inlineStr">
        <is>
          <t>Risco = (6 − P) × S</t>
        </is>
      </c>
      <c r="C33" s="14" t="inlineStr">
        <is>
          <t>Fórmula da matriz de impactos: P = 1 (muito provável) pesa mais que P = 5. Exemplo: P = 1 e S = 3 resulta em Risco 15.</t>
        </is>
      </c>
    </row>
    <row r="34">
      <c r="B34" s="13" t="inlineStr">
        <is>
          <t>Risco de 1 a 5 (verde)</t>
        </is>
      </c>
      <c r="C34" s="14" t="inlineStr">
        <is>
          <t>Estratégia: Monitorar / Prevenir.</t>
        </is>
      </c>
    </row>
    <row r="35">
      <c r="B35" s="13" t="inlineStr">
        <is>
          <t>Risco de 6 a 12 (amarelo)</t>
        </is>
      </c>
      <c r="C35" s="14" t="inlineStr">
        <is>
          <t>Estratégia: Mitigar / Prevenir.</t>
        </is>
      </c>
    </row>
    <row r="36">
      <c r="B36" s="13" t="inlineStr">
        <is>
          <t>Risco de 15 a 25 (vermelho)</t>
        </is>
      </c>
      <c r="C36" s="14" t="inlineStr">
        <is>
          <t>Estratégia: Evitar. Obrigatório ter providência clara e priorizada no backlog.</t>
        </is>
      </c>
    </row>
    <row r="38" ht="16.8" customHeight="1" s="22">
      <c r="B38" s="23" t="inlineStr">
        <is>
          <t>CHECKLIST DA ENTREGA</t>
        </is>
      </c>
    </row>
    <row r="39">
      <c r="B39" s="21" t="inlineStr">
        <is>
          <t>[ ] 3 atributos de qualidade definidos e escritos nos blocos</t>
        </is>
      </c>
    </row>
    <row r="40">
      <c r="B40" s="39" t="inlineStr">
        <is>
          <t>[ ] 1 risco por integrante em cada atributo (9 riscos para 3 integrantes; 6 para 2)</t>
        </is>
      </c>
    </row>
    <row r="41">
      <c r="B41" s="21" t="inlineStr">
        <is>
          <t>[ ] Palavra guia escolhida em todos os riscos</t>
        </is>
      </c>
    </row>
    <row r="42">
      <c r="B42" s="21" t="inlineStr">
        <is>
          <t>[ ] Defeito, causa, detecção e consequências preenchidos de forma específica ao projeto</t>
        </is>
      </c>
    </row>
    <row r="43">
      <c r="B43" s="21" t="inlineStr">
        <is>
          <t>[ ] P e S atribuídos (1 a 5) e Risco calculado</t>
        </is>
      </c>
    </row>
    <row r="44">
      <c r="B44" s="21" t="inlineStr">
        <is>
          <t>[ ] Providência concreta para cada risco, com responsável e sprint</t>
        </is>
      </c>
    </row>
    <row r="45">
      <c r="B45" s="39" t="inlineStr">
        <is>
          <t>[ ] Riscos vermelhos tratados em issues no Jira/Azure</t>
        </is>
      </c>
    </row>
    <row r="46">
      <c r="B46" s="39" t="inlineStr">
        <is>
          <t>[ ] Planilha salva no Jira/Azure</t>
        </is>
      </c>
    </row>
    <row r="47">
      <c r="B47" s="39" t="inlineStr">
        <is>
          <t>[ ] Professora e monitora com acesso</t>
        </is>
      </c>
    </row>
  </sheetData>
  <mergeCells count="14">
    <mergeCell ref="B39:C39"/>
    <mergeCell ref="B6:C6"/>
    <mergeCell ref="B47:C47"/>
    <mergeCell ref="B2:C2"/>
    <mergeCell ref="B38:C38"/>
    <mergeCell ref="B44:C44"/>
    <mergeCell ref="B45:C45"/>
    <mergeCell ref="B46:C46"/>
    <mergeCell ref="B42:C42"/>
    <mergeCell ref="B32:C32"/>
    <mergeCell ref="B40:C40"/>
    <mergeCell ref="B41:C41"/>
    <mergeCell ref="B17:C17"/>
    <mergeCell ref="B43:C43"/>
  </mergeCell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2:M26"/>
  <sheetViews>
    <sheetView topLeftCell="A8" workbookViewId="0">
      <selection activeCell="F29" sqref="F29"/>
    </sheetView>
  </sheetViews>
  <sheetFormatPr baseColWidth="8" defaultColWidth="14.44140625" defaultRowHeight="15" customHeight="1"/>
  <cols>
    <col width="16" customWidth="1" style="22" min="1" max="2"/>
    <col width="30" customWidth="1" style="22" min="3" max="3"/>
    <col width="24" customWidth="1" style="22" min="4" max="4"/>
    <col width="26" customWidth="1" style="22" min="5" max="5"/>
    <col width="30" customWidth="1" style="22" min="6" max="6"/>
    <col width="6" customWidth="1" style="22" min="7" max="8"/>
    <col width="8" customWidth="1" style="22" min="9" max="9"/>
    <col width="42" customWidth="1" style="22" min="10" max="10"/>
    <col width="20" customWidth="1" style="22" min="11" max="11"/>
    <col width="16" customWidth="1" style="22" min="12" max="12"/>
    <col width="14" customWidth="1" style="22" min="13" max="13"/>
  </cols>
  <sheetData>
    <row r="1" ht="15.75" customHeight="1" s="22"/>
    <row r="2" ht="29.25" customHeight="1" s="22">
      <c r="B2" s="27" t="inlineStr">
        <is>
          <t>ANÁLISE DE RISCOS QUALITATIVA BASEADA EM DEFEITOS</t>
        </is>
      </c>
      <c r="C2" s="28" t="n"/>
      <c r="D2" s="28" t="n"/>
      <c r="E2" s="28" t="n"/>
      <c r="F2" s="28" t="n"/>
      <c r="G2" s="28" t="n"/>
      <c r="H2" s="28" t="n"/>
      <c r="I2" s="28" t="n"/>
      <c r="J2" s="28" t="n"/>
      <c r="K2" s="29" t="n"/>
    </row>
    <row r="3" ht="18" customHeight="1" s="22">
      <c r="B3" s="25" t="inlineStr">
        <is>
          <t>Risco 1 a 5: Monitorar / Prevenir</t>
        </is>
      </c>
      <c r="D3" s="26" t="inlineStr">
        <is>
          <t>Risco 6 a 12: Mitigar / Prevenir</t>
        </is>
      </c>
      <c r="F3" s="16" t="inlineStr">
        <is>
          <t>Risco 15 a 25: Evitar</t>
        </is>
      </c>
      <c r="G3" s="17" t="inlineStr">
        <is>
          <t>Risco = (6 − P) × S</t>
        </is>
      </c>
    </row>
    <row r="4" ht="15.75" customHeight="1" s="22">
      <c r="B4" s="24" t="inlineStr">
        <is>
          <t>Sistema: FilaSUS</t>
        </is>
      </c>
      <c r="C4" s="40" t="n"/>
      <c r="D4" s="40" t="n"/>
      <c r="E4" s="40" t="n"/>
      <c r="F4" s="40" t="n"/>
      <c r="G4" s="40" t="n"/>
      <c r="H4" s="40" t="n"/>
      <c r="I4" s="40" t="n"/>
      <c r="J4" s="41" t="n"/>
      <c r="L4" s="11" t="inlineStr">
        <is>
          <t>Palavras Guia:</t>
        </is>
      </c>
      <c r="M4" s="12" t="n"/>
    </row>
    <row r="5" ht="15.75" customHeight="1" s="22">
      <c r="B5" s="24" t="inlineStr">
        <is>
          <t>Parâmetro: Segurança (controle de acesso e proteção de dados pessoais)</t>
        </is>
      </c>
      <c r="C5" s="40" t="n"/>
      <c r="D5" s="40" t="n"/>
      <c r="E5" s="40" t="n"/>
      <c r="F5" s="40" t="n"/>
      <c r="G5" s="40" t="n"/>
      <c r="H5" s="40" t="n"/>
      <c r="I5" s="40" t="n"/>
      <c r="J5" s="41" t="n"/>
      <c r="L5" s="12" t="n"/>
      <c r="M5" s="11" t="inlineStr">
        <is>
          <t>Nenhum</t>
        </is>
      </c>
    </row>
    <row r="6" ht="15.75" customHeight="1" s="22">
      <c r="L6" s="12" t="n"/>
      <c r="M6" s="11" t="inlineStr">
        <is>
          <t>Mais</t>
        </is>
      </c>
    </row>
    <row r="7" ht="15.75" customHeight="1" s="22">
      <c r="A7" s="2" t="inlineStr">
        <is>
          <t>Responsável</t>
        </is>
      </c>
      <c r="B7" s="2" t="inlineStr">
        <is>
          <t>Palavra Guia</t>
        </is>
      </c>
      <c r="C7" s="2" t="inlineStr">
        <is>
          <t>Defeito</t>
        </is>
      </c>
      <c r="D7" s="2" t="inlineStr">
        <is>
          <t>Causa</t>
        </is>
      </c>
      <c r="E7" s="2" t="inlineStr">
        <is>
          <t>Detecção</t>
        </is>
      </c>
      <c r="F7" s="2" t="inlineStr">
        <is>
          <t>Consequências</t>
        </is>
      </c>
      <c r="G7" s="2" t="inlineStr">
        <is>
          <t>P</t>
        </is>
      </c>
      <c r="H7" s="2" t="inlineStr">
        <is>
          <t>S</t>
        </is>
      </c>
      <c r="I7" s="2" t="inlineStr">
        <is>
          <t>Risco</t>
        </is>
      </c>
      <c r="J7" s="2" t="inlineStr">
        <is>
          <t>Providências</t>
        </is>
      </c>
      <c r="K7" s="2" t="inlineStr">
        <is>
          <t>Estratégia</t>
        </is>
      </c>
      <c r="L7" s="12" t="n"/>
      <c r="M7" s="11" t="inlineStr">
        <is>
          <t>Menos</t>
        </is>
      </c>
    </row>
    <row r="8" ht="63" customHeight="1" s="22">
      <c r="A8" s="18" t="inlineStr">
        <is>
          <t>Adrielly Carla Ferreira de Melo</t>
        </is>
      </c>
      <c r="B8" s="18" t="inlineStr">
        <is>
          <t>Mais</t>
        </is>
      </c>
      <c r="C8" s="19" t="inlineStr">
        <is>
          <t>Um usuário com perfil Paciente consegue abrir telas e dados da recepção (acesso a mais do que o seu perfil permite)</t>
        </is>
      </c>
      <c r="D8" s="19" t="inlineStr">
        <is>
          <t>Rota da API sem verificação de perfil ou erro na configuração do Spring Security</t>
        </is>
      </c>
      <c r="E8" s="19" t="inlineStr">
        <is>
          <t>Testes automatizados de autorização por perfil (esperado 403) e revisão de código nos PRs</t>
        </is>
      </c>
      <c r="F8" s="19" t="inlineStr">
        <is>
          <t>Exposição de dados de saúde de pacientes, violação da LGPD e perda de confiança da UBS</t>
        </is>
      </c>
      <c r="G8" s="6" t="n">
        <v>3</v>
      </c>
      <c r="H8" s="6" t="n">
        <v>5</v>
      </c>
      <c r="I8" s="6">
        <f>IF(OR(G8="",H8=""),"",(6-G8)*H8)</f>
        <v/>
      </c>
      <c r="J8" s="20" t="inlineStr">
        <is>
          <t>Controle de acesso por papel em todas as rotas e testes de autorização para os 4 perfis (DA-SEG-I1-01, US-02). Responsável: Adrielly. Sprint 1</t>
        </is>
      </c>
      <c r="K8" s="20">
        <f>IF(I8="","",IF(I8&lt;=5,"Monitorar / Prevenir",IF(I8&lt;=12,"Mitigar / Prevenir","Evitar")))</f>
        <v/>
      </c>
      <c r="L8" s="12" t="n"/>
      <c r="M8" s="11" t="inlineStr">
        <is>
          <t>Parte de</t>
        </is>
      </c>
    </row>
    <row r="9" ht="63" customHeight="1" s="22">
      <c r="A9" s="18" t="inlineStr">
        <is>
          <t>Maria Eduarda da Nóbrega</t>
        </is>
      </c>
      <c r="B9" s="18" t="inlineStr">
        <is>
          <t>Nenhum</t>
        </is>
      </c>
      <c r="C9" s="19" t="inlineStr">
        <is>
          <t>Nenhum bloqueio é aplicado depois de várias tentativas de senha errada no login</t>
        </is>
      </c>
      <c r="D9" s="19" t="inlineStr">
        <is>
          <t>Regra de limite de tentativas não implementada no serviço de autenticação</t>
        </is>
      </c>
      <c r="E9" s="19" t="inlineStr">
        <is>
          <t>Teste automatizado com 6 tentativas erradas seguidas e teste exploratório da QA</t>
        </is>
      </c>
      <c r="F9" s="19" t="inlineStr">
        <is>
          <t>Senhas descobertas por força bruta e acesso indevido a contas de pacientes e funcionários</t>
        </is>
      </c>
      <c r="G9" s="6" t="n">
        <v>3</v>
      </c>
      <c r="H9" s="6" t="n">
        <v>4</v>
      </c>
      <c r="I9" s="6">
        <f>IF(OR(G9="",H9=""),"",(6-G9)*H9)</f>
        <v/>
      </c>
      <c r="J9" s="20" t="inlineStr">
        <is>
          <t>Bloquear a conta por 15 min após 5 tentativas erradas, com mensagem genérica (DA-SEG-I2-01, US-01). Responsável: Maria Eduarda. Sprint 1</t>
        </is>
      </c>
      <c r="K9" s="20">
        <f>IF(I9="","",IF(I9&lt;=5,"Monitorar / Prevenir",IF(I9&lt;=12,"Mitigar / Prevenir","Evitar")))</f>
        <v/>
      </c>
      <c r="L9" s="12" t="n"/>
      <c r="M9" s="11" t="inlineStr">
        <is>
          <t>Tanto quanto</t>
        </is>
      </c>
    </row>
    <row r="10" ht="63" customHeight="1" s="22">
      <c r="A10" s="18" t="inlineStr">
        <is>
          <t>Mirelle Casimiro Silvino</t>
        </is>
      </c>
      <c r="B10" s="18" t="inlineStr">
        <is>
          <t>Parte de</t>
        </is>
      </c>
      <c r="C10" s="19" t="inlineStr">
        <is>
          <t>Parte dos dados pessoais (CPF, cartão SUS) fica gravada em texto claro no banco ou aparece nos logs</t>
        </is>
      </c>
      <c r="D10" s="19" t="inlineStr">
        <is>
          <t>Falta de criptografia nos campos sensíveis e logs registrando o objeto completo do paciente</t>
        </is>
      </c>
      <c r="E10" s="19" t="inlineStr">
        <is>
          <t>Consulta direta ao banco de homologação e revisão dos logs da aplicação</t>
        </is>
      </c>
      <c r="F10" s="19" t="inlineStr">
        <is>
          <t>Vazamento de dados pessoais de saúde em caso de acesso indevido ao banco ou aos logs</t>
        </is>
      </c>
      <c r="G10" s="6" t="n">
        <v>3</v>
      </c>
      <c r="H10" s="6" t="n">
        <v>5</v>
      </c>
      <c r="I10" s="6">
        <f>IF(OR(G10="",H10=""),"",(6-G10)*H10)</f>
        <v/>
      </c>
      <c r="J10" s="20" t="inlineStr">
        <is>
          <t>CPF criptografado (AES-256), senha com bcrypt, HTTPS obrigatório e logs sem dados pessoais (DA-SEG-I3-01, US-04). Responsável: Mirelle. Sprint 1</t>
        </is>
      </c>
      <c r="K10" s="20">
        <f>IF(I10="","",IF(I10&lt;=5,"Monitorar / Prevenir",IF(I10&lt;=12,"Mitigar / Prevenir","Evitar")))</f>
        <v/>
      </c>
      <c r="L10" s="12" t="n"/>
      <c r="M10" s="11" t="inlineStr">
        <is>
          <t>Reverso</t>
        </is>
      </c>
    </row>
    <row r="11" ht="15.75" customHeight="1" s="22" thickBot="1">
      <c r="L11" s="12" t="n"/>
      <c r="M11" s="11" t="inlineStr">
        <is>
          <t>Antes</t>
        </is>
      </c>
    </row>
    <row r="12" ht="15.75" customHeight="1" s="22">
      <c r="B12" s="24" t="inlineStr">
        <is>
          <t>Sistema: FilaSUS</t>
        </is>
      </c>
      <c r="C12" s="40" t="n"/>
      <c r="D12" s="40" t="n"/>
      <c r="E12" s="40" t="n"/>
      <c r="F12" s="40" t="n"/>
      <c r="G12" s="40" t="n"/>
      <c r="H12" s="40" t="n"/>
      <c r="I12" s="40" t="n"/>
      <c r="J12" s="41" t="n"/>
      <c r="L12" s="12" t="n"/>
      <c r="M12" s="11" t="inlineStr">
        <is>
          <t>Depois</t>
        </is>
      </c>
    </row>
    <row r="13" ht="15.75" customHeight="1" s="22">
      <c r="B13" s="24" t="inlineStr">
        <is>
          <t>Parâmetro: Desempenho (tempo de resposta da fila)</t>
        </is>
      </c>
      <c r="C13" s="40" t="n"/>
      <c r="D13" s="40" t="n"/>
      <c r="E13" s="40" t="n"/>
      <c r="F13" s="40" t="n"/>
      <c r="G13" s="40" t="n"/>
      <c r="H13" s="40" t="n"/>
      <c r="I13" s="40" t="n"/>
      <c r="J13" s="41" t="n"/>
      <c r="L13" s="12" t="n"/>
      <c r="M13" s="11" t="inlineStr">
        <is>
          <t>Mais cedo</t>
        </is>
      </c>
    </row>
    <row r="14" ht="15.75" customHeight="1" s="22">
      <c r="L14" s="12" t="n"/>
      <c r="M14" s="11" t="inlineStr">
        <is>
          <t>Mais tarde</t>
        </is>
      </c>
    </row>
    <row r="15" ht="15.75" customHeight="1" s="22">
      <c r="A15" s="2" t="inlineStr">
        <is>
          <t>Responsável</t>
        </is>
      </c>
      <c r="B15" s="2" t="inlineStr">
        <is>
          <t>Palavra Guia</t>
        </is>
      </c>
      <c r="C15" s="2" t="inlineStr">
        <is>
          <t>Defeito</t>
        </is>
      </c>
      <c r="D15" s="2" t="inlineStr">
        <is>
          <t>Causa</t>
        </is>
      </c>
      <c r="E15" s="2" t="inlineStr">
        <is>
          <t>Detecção</t>
        </is>
      </c>
      <c r="F15" s="2" t="inlineStr">
        <is>
          <t>Consequências</t>
        </is>
      </c>
      <c r="G15" s="2" t="inlineStr">
        <is>
          <t>P</t>
        </is>
      </c>
      <c r="H15" s="2" t="inlineStr">
        <is>
          <t>S</t>
        </is>
      </c>
      <c r="I15" s="2" t="inlineStr">
        <is>
          <t>Risco</t>
        </is>
      </c>
      <c r="J15" s="2" t="inlineStr">
        <is>
          <t>Providências</t>
        </is>
      </c>
      <c r="K15" s="2" t="inlineStr">
        <is>
          <t>Estratégia</t>
        </is>
      </c>
      <c r="M15" s="11" t="inlineStr">
        <is>
          <t>Substituição</t>
        </is>
      </c>
    </row>
    <row r="16" ht="63" customHeight="1" s="22">
      <c r="A16" s="18" t="inlineStr">
        <is>
          <t>Adrielly Carla Ferreira de Melo</t>
        </is>
      </c>
      <c r="B16" s="18" t="inlineStr">
        <is>
          <t>Mais tarde</t>
        </is>
      </c>
      <c r="C16" s="19" t="inlineStr">
        <is>
          <t>A posição do paciente na tela atualiza mais tarde do que o esperado depois que alguém é chamado</t>
        </is>
      </c>
      <c r="D16" s="19" t="inlineStr">
        <is>
          <t>Canal SSE enviando as atualizações uma a uma ou servidor sem capacidade para muitas conexões abertas</t>
        </is>
      </c>
      <c r="E16" s="19" t="inlineStr">
        <is>
          <t>Teste de carga com k6 e 200 conexões SSE, medindo o tempo até a nova posição chegar</t>
        </is>
      </c>
      <c r="F16" s="19" t="inlineStr">
        <is>
          <t>Paciente perde a vez ou volta para a UBS sem necessidade; a fila virtual perde credibilidade</t>
        </is>
      </c>
      <c r="G16" s="6" t="n">
        <v>2</v>
      </c>
      <c r="H16" s="6" t="n">
        <v>3</v>
      </c>
      <c r="I16" s="6">
        <f>IF(OR(G16="",H16=""),"",(6-G16)*H16)</f>
        <v/>
      </c>
      <c r="J16" s="20" t="inlineStr">
        <is>
          <t>Publicar as mudanças da fila por SSE para todos os conectados e testar com k6 (DA-DES-I1-01, US-17). Responsável: Adrielly. Sprint 4</t>
        </is>
      </c>
      <c r="K16" s="20">
        <f>IF(I16="","",IF(I16&lt;=5,"Monitorar / Prevenir",IF(I16&lt;=12,"Mitigar / Prevenir","Evitar")))</f>
        <v/>
      </c>
    </row>
    <row r="17" ht="63" customHeight="1" s="22">
      <c r="A17" s="18" t="inlineStr">
        <is>
          <t>Maria Eduarda da Nóbrega</t>
        </is>
      </c>
      <c r="B17" s="18" t="inlineStr">
        <is>
          <t>Mais</t>
        </is>
      </c>
      <c r="C17" s="19" t="inlineStr">
        <is>
          <t>Mais pacientes entram na fila ao mesmo tempo do que o sistema suporta no pico das 7h, gerando lentidão ou senhas repetidas</t>
        </is>
      </c>
      <c r="D17" s="19" t="inlineStr">
        <is>
          <t>Geração da senha sem controle de concorrência e consultas sem índice</t>
        </is>
      </c>
      <c r="E17" s="19" t="inlineStr">
        <is>
          <t>Teste de carga com k6 (300 entradas em 5 min) e consulta ao banco procurando senhas duplicadas</t>
        </is>
      </c>
      <c r="F17" s="19" t="inlineStr">
        <is>
          <t>Filas presenciais voltam a se formar, senhas duplicadas e conflito na recepção</t>
        </is>
      </c>
      <c r="G17" s="6" t="n">
        <v>2</v>
      </c>
      <c r="H17" s="6" t="n">
        <v>4</v>
      </c>
      <c r="I17" s="6">
        <f>IF(OR(G17="",H17=""),"",(6-G17)*H17)</f>
        <v/>
      </c>
      <c r="J17" s="20" t="inlineStr">
        <is>
          <t>Senha gerada por sequência do banco dentro de transação e teste de carga antes da Review (DA-DES-I2-01, US-06). Responsável: Maria Eduarda. Sprint 2</t>
        </is>
      </c>
      <c r="K17" s="20">
        <f>IF(I17="","",IF(I17&lt;=5,"Monitorar / Prevenir",IF(I17&lt;=12,"Mitigar / Prevenir","Evitar")))</f>
        <v/>
      </c>
    </row>
    <row r="18" ht="63" customHeight="1" s="22">
      <c r="A18" s="18" t="inlineStr">
        <is>
          <t>Mirelle Casimiro Silvino</t>
        </is>
      </c>
      <c r="B18" s="18" t="inlineStr">
        <is>
          <t>Menos</t>
        </is>
      </c>
      <c r="C18" s="19" t="inlineStr">
        <is>
          <t>Com o relatório do gestor sendo gerado, as rotas da fila respondem com menos velocidade</t>
        </is>
      </c>
      <c r="D18" s="19" t="inlineStr">
        <is>
          <t>Consulta pesada sobre todo o histórico de atendimentos, sem índices nem agregação</t>
        </is>
      </c>
      <c r="E18" s="19" t="inlineStr">
        <is>
          <t>Gerar o relatório durante um teste de carga na fila e medir o p95 das rotas</t>
        </is>
      </c>
      <c r="F18" s="19" t="inlineStr">
        <is>
          <t>Pacientes e recepção percebem lentidão justamente nos horários em que o gestor consulta os indicadores</t>
        </is>
      </c>
      <c r="G18" s="6" t="n">
        <v>3</v>
      </c>
      <c r="H18" s="6" t="n">
        <v>3</v>
      </c>
      <c r="I18" s="6">
        <f>IF(OR(G18="",H18=""),"",(6-G18)*H18)</f>
        <v/>
      </c>
      <c r="J18" s="20" t="inlineStr">
        <is>
          <t>Índices por data e serviço, consultas agregadas e meta de 3 s para o relatório (DA-DES-I3-01, US-18). Responsável: Mirelle. Sprint 6</t>
        </is>
      </c>
      <c r="K18" s="20">
        <f>IF(I18="","",IF(I18&lt;=5,"Monitorar / Prevenir",IF(I18&lt;=12,"Mitigar / Prevenir","Evitar")))</f>
        <v/>
      </c>
    </row>
    <row r="19" ht="15.75" customHeight="1" s="22" thickBot="1"/>
    <row r="20" ht="15.75" customHeight="1" s="22">
      <c r="B20" s="24" t="inlineStr">
        <is>
          <t>Sistema: FilaSUS</t>
        </is>
      </c>
      <c r="C20" s="40" t="n"/>
      <c r="D20" s="40" t="n"/>
      <c r="E20" s="40" t="n"/>
      <c r="F20" s="40" t="n"/>
      <c r="G20" s="40" t="n"/>
      <c r="H20" s="40" t="n"/>
      <c r="I20" s="40" t="n"/>
      <c r="J20" s="41" t="n"/>
    </row>
    <row r="21" ht="15.75" customHeight="1" s="22">
      <c r="B21" s="24" t="inlineStr">
        <is>
          <t>Parâmetro: Disponibilidade (sistema no ar durante o atendimento)</t>
        </is>
      </c>
      <c r="C21" s="40" t="n"/>
      <c r="D21" s="40" t="n"/>
      <c r="E21" s="40" t="n"/>
      <c r="F21" s="40" t="n"/>
      <c r="G21" s="40" t="n"/>
      <c r="H21" s="40" t="n"/>
      <c r="I21" s="40" t="n"/>
      <c r="J21" s="41" t="n"/>
    </row>
    <row r="22" ht="15.75" customHeight="1" s="22"/>
    <row r="23" ht="15.75" customHeight="1" s="22">
      <c r="A23" s="2" t="inlineStr">
        <is>
          <t>Responsável</t>
        </is>
      </c>
      <c r="B23" s="2" t="inlineStr">
        <is>
          <t>Palavra Guia</t>
        </is>
      </c>
      <c r="C23" s="2" t="inlineStr">
        <is>
          <t>Defeito</t>
        </is>
      </c>
      <c r="D23" s="2" t="inlineStr">
        <is>
          <t>Causa</t>
        </is>
      </c>
      <c r="E23" s="2" t="inlineStr">
        <is>
          <t>Detecção</t>
        </is>
      </c>
      <c r="F23" s="2" t="inlineStr">
        <is>
          <t>Consequências</t>
        </is>
      </c>
      <c r="G23" s="2" t="inlineStr">
        <is>
          <t>P</t>
        </is>
      </c>
      <c r="H23" s="2" t="inlineStr">
        <is>
          <t>S</t>
        </is>
      </c>
      <c r="I23" s="2" t="inlineStr">
        <is>
          <t>Risco</t>
        </is>
      </c>
      <c r="J23" s="2" t="inlineStr">
        <is>
          <t>Providências</t>
        </is>
      </c>
      <c r="K23" s="2" t="inlineStr">
        <is>
          <t>Estratégia</t>
        </is>
      </c>
    </row>
    <row r="24" ht="63" customHeight="1" s="22" thickBot="1">
      <c r="A24" s="18" t="inlineStr">
        <is>
          <t>Adrielly Carla Ferreira de Melo</t>
        </is>
      </c>
      <c r="B24" s="18" t="inlineStr">
        <is>
          <t>Nenhum</t>
        </is>
      </c>
      <c r="C24" s="19" t="inlineStr">
        <is>
          <t>Nenhuma atualização da posição chega ao paciente quando a conexão em tempo real cai</t>
        </is>
      </c>
      <c r="D24" s="19" t="inlineStr">
        <is>
          <t>Rede instável (4G do paciente ou internet da UBS) derruba o SSE e o front não tem plano alternativo</t>
        </is>
      </c>
      <c r="E24" s="19" t="inlineStr">
        <is>
          <t>Teste com o navegador em modo offline (Chrome DevTools) durante o acompanhamento da fila</t>
        </is>
      </c>
      <c r="F24" s="19" t="inlineStr">
        <is>
          <t>Paciente fica com a posição congelada na tela e perde a chamada</t>
        </is>
      </c>
      <c r="G24" s="6" t="n">
        <v>2</v>
      </c>
      <c r="H24" s="6" t="n">
        <v>3</v>
      </c>
      <c r="I24" s="6">
        <f>IF(OR(G24="",H24=""),"",(6-G24)*H24)</f>
        <v/>
      </c>
      <c r="J24" s="20" t="inlineStr">
        <is>
          <t>Consultar a posição a cada 15 s enquanto o SSE estiver fora e reconectar sozinho (DA-DIS-I1-01, US-17). Responsável: Adrielly. Sprint 4</t>
        </is>
      </c>
      <c r="K24" s="20">
        <f>IF(I24="","",IF(I24&lt;=5,"Monitorar / Prevenir",IF(I24&lt;=12,"Mitigar / Prevenir","Evitar")))</f>
        <v/>
      </c>
    </row>
    <row r="25" ht="63" customHeight="1" s="22">
      <c r="A25" s="18" t="inlineStr">
        <is>
          <t>Maria Eduarda da Nóbrega</t>
        </is>
      </c>
      <c r="B25" s="18" t="inlineStr">
        <is>
          <t>Depois</t>
        </is>
      </c>
      <c r="C25" s="19" t="inlineStr">
        <is>
          <t>Depois de uma queda do servidor da API, a fila não volta ao estado em que estava</t>
        </is>
      </c>
      <c r="D25" s="19" t="inlineStr">
        <is>
          <t>Estado da fila guardado só na memória e reinício manual do servidor</t>
        </is>
      </c>
      <c r="E25" s="19" t="inlineStr">
        <is>
          <t>Derrubar o container de propósito com a fila em uso e monitor de uptime (UptimeRobot)</t>
        </is>
      </c>
      <c r="F25" s="19" t="inlineStr">
        <is>
          <t>Senhas perdidas, pacientes sem atendimento e a recepção volta ao papel</t>
        </is>
      </c>
      <c r="G25" s="6" t="n">
        <v>3</v>
      </c>
      <c r="H25" s="6" t="n">
        <v>4</v>
      </c>
      <c r="I25" s="6">
        <f>IF(OR(G25="",H25=""),"",(6-G25)*H25)</f>
        <v/>
      </c>
      <c r="J25" s="20" t="inlineStr">
        <is>
          <t>Estado da fila só no banco, health check e reinício automático do container (DA-DIS-I2-01, US-06). Responsável: Maria Eduarda. Sprint 3</t>
        </is>
      </c>
      <c r="K25" s="20">
        <f>IF(I25="","",IF(I25&lt;=5,"Monitorar / Prevenir",IF(I25&lt;=12,"Mitigar / Prevenir","Evitar")))</f>
        <v/>
      </c>
    </row>
    <row r="26" ht="63" customHeight="1" s="22">
      <c r="A26" s="18" t="inlineStr">
        <is>
          <t>Mirelle Casimiro Silvino</t>
        </is>
      </c>
      <c r="B26" s="18" t="inlineStr">
        <is>
          <t>Parte de</t>
        </is>
      </c>
      <c r="C26" s="19" t="inlineStr">
        <is>
          <t>Parte dos cadastros e do histórico é perdida por falha no banco ou erro de deploy</t>
        </is>
      </c>
      <c r="D26" s="19" t="inlineStr">
        <is>
          <t>Ausência de backup automático ou backup nunca testado</t>
        </is>
      </c>
      <c r="E26" s="19" t="inlineStr">
        <is>
          <t>Simulação de restauração do backup em homologação, cronometrada</t>
        </is>
      </c>
      <c r="F26" s="19" t="inlineStr">
        <is>
          <t>Perda de cadastros de pacientes e dos registros de auditoria exigidos pela LGPD</t>
        </is>
      </c>
      <c r="G26" s="6" t="n">
        <v>4</v>
      </c>
      <c r="H26" s="6" t="n">
        <v>5</v>
      </c>
      <c r="I26" s="6">
        <f>IF(OR(G26="",H26=""),"",(6-G26)*H26)</f>
        <v/>
      </c>
      <c r="J26" s="20" t="inlineStr">
        <is>
          <t>Backup diário e simulação de restauração uma vez por release (DA-DIS-I3-01, RNF-08). Responsável: Mirelle. Sprint 5</t>
        </is>
      </c>
      <c r="K26" s="20">
        <f>IF(I26="","",IF(I26&lt;=5,"Monitorar / Prevenir",IF(I26&lt;=12,"Mitigar / Prevenir","Evitar")))</f>
        <v/>
      </c>
    </row>
    <row r="27" ht="15.75" customHeight="1" s="22"/>
    <row r="28" ht="15.75" customHeight="1" s="22"/>
    <row r="29" ht="15.75" customHeight="1" s="22" thickBot="1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  <row r="1001" ht="15.75" customHeight="1" s="22"/>
    <row r="1002" ht="15.75" customHeight="1" s="22"/>
    <row r="1003" ht="15.75" customHeight="1" s="22"/>
    <row r="1004" ht="15.75" customHeight="1" s="22"/>
    <row r="1005" ht="15.75" customHeight="1" s="22"/>
  </sheetData>
  <mergeCells count="9">
    <mergeCell ref="B13:J13"/>
    <mergeCell ref="B5:J5"/>
    <mergeCell ref="B20:J20"/>
    <mergeCell ref="B3:C3"/>
    <mergeCell ref="B4:J4"/>
    <mergeCell ref="B2:K2"/>
    <mergeCell ref="B12:J12"/>
    <mergeCell ref="D3:E3"/>
    <mergeCell ref="B21:J21"/>
  </mergeCells>
  <conditionalFormatting sqref="I8:I10">
    <cfRule type="expression" priority="1" dxfId="2">
      <formula>AND(I8&lt;&gt;"",I8&gt;=15)</formula>
    </cfRule>
    <cfRule type="expression" priority="2" dxfId="1">
      <formula>AND(I8&lt;&gt;"",I8&gt;=6,I8&lt;=12)</formula>
    </cfRule>
    <cfRule type="expression" priority="3" dxfId="0">
      <formula>AND(I8&lt;&gt;"",I8&lt;=5)</formula>
    </cfRule>
  </conditionalFormatting>
  <conditionalFormatting sqref="I16:I18">
    <cfRule type="expression" priority="4" dxfId="2">
      <formula>AND(I16&lt;&gt;"",I16&gt;=15)</formula>
    </cfRule>
    <cfRule type="expression" priority="5" dxfId="1">
      <formula>AND(I16&lt;&gt;"",I16&gt;=6,I16&lt;=12)</formula>
    </cfRule>
    <cfRule type="expression" priority="6" dxfId="0">
      <formula>AND(I16&lt;&gt;"",I16&lt;=5)</formula>
    </cfRule>
  </conditionalFormatting>
  <conditionalFormatting sqref="I24:I26">
    <cfRule type="expression" priority="7" dxfId="2">
      <formula>AND(I24&lt;&gt;"",I24&gt;=15)</formula>
    </cfRule>
    <cfRule type="expression" priority="8" dxfId="1">
      <formula>AND(I24&lt;&gt;"",I24&gt;=6,I24&lt;=12)</formula>
    </cfRule>
    <cfRule type="expression" priority="9" dxfId="0">
      <formula>AND(I24&lt;&gt;"",I24&lt;=5)</formula>
    </cfRule>
  </conditionalFormatting>
  <dataValidations count="2">
    <dataValidation sqref="B8:B10 B16:B18 B24:B26" showDropDown="0" showInputMessage="0" showErrorMessage="1" allowBlank="1" errorTitle="Palavra guia" error="Escolha uma palavra guia da lista (coluna M)." type="list">
      <formula1>$M$5:$M$14</formula1>
    </dataValidation>
    <dataValidation sqref="G8:H10 G16:H18 G24:H26" showDropDown="0" showInputMessage="0" showErrorMessage="1" allowBlank="1" errorTitle="Valor inválido" error="Use um número inteiro de 1 a 5." type="whole">
      <formula1>1</formula1>
      <formula2>5</formula2>
    </dataValidation>
  </dataValidations>
  <pageMargins left="0.511811024" right="0.511811024" top="0.787401575" bottom="0.787401575" header="0.31496062" footer="0.31496062"/>
  <pageSetup orientation="landscape" paperSize="9" fitToHeight="0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B3:J15"/>
  <sheetViews>
    <sheetView workbookViewId="0">
      <selection activeCell="L10" sqref="L10"/>
    </sheetView>
  </sheetViews>
  <sheetFormatPr baseColWidth="8" defaultColWidth="14.44140625" defaultRowHeight="15" customHeight="1"/>
  <cols>
    <col width="14.44140625" customWidth="1" style="22" min="1" max="6"/>
  </cols>
  <sheetData>
    <row r="1" ht="15.75" customHeight="1" s="22"/>
    <row r="2" ht="15.75" customHeight="1" s="22"/>
    <row r="3" ht="15.75" customHeight="1" s="22">
      <c r="B3" s="30" t="inlineStr">
        <is>
          <t>Sistema: Vendas de Hortifruti</t>
        </is>
      </c>
      <c r="C3" s="31" t="n"/>
      <c r="D3" s="31" t="n"/>
      <c r="E3" s="31" t="n"/>
      <c r="F3" s="31" t="n"/>
      <c r="G3" s="31" t="n"/>
      <c r="H3" s="31" t="n"/>
      <c r="I3" s="31" t="n"/>
      <c r="J3" s="32" t="n"/>
    </row>
    <row r="4" ht="15.75" customHeight="1" s="22">
      <c r="B4" s="30" t="inlineStr">
        <is>
          <t>Parâmetro: Segurança do Pedido</t>
        </is>
      </c>
      <c r="C4" s="31" t="n"/>
      <c r="D4" s="31" t="n"/>
      <c r="E4" s="31" t="n"/>
      <c r="F4" s="31" t="n"/>
      <c r="G4" s="31" t="n"/>
      <c r="H4" s="31" t="n"/>
      <c r="I4" s="31" t="n"/>
      <c r="J4" s="32" t="n"/>
    </row>
    <row r="5" ht="15.75" customHeight="1" s="22">
      <c r="B5" s="33" t="n"/>
      <c r="C5" s="34" t="n"/>
      <c r="D5" s="34" t="n"/>
      <c r="E5" s="34" t="n"/>
      <c r="F5" s="34" t="n"/>
      <c r="G5" s="34" t="n"/>
      <c r="H5" s="34" t="n"/>
      <c r="I5" s="34" t="n"/>
      <c r="J5" s="35" t="n"/>
    </row>
    <row r="6" ht="15.75" customHeight="1" s="22">
      <c r="B6" s="3" t="inlineStr">
        <is>
          <t>Palavra Guia</t>
        </is>
      </c>
      <c r="C6" s="3" t="inlineStr">
        <is>
          <t>Defeito</t>
        </is>
      </c>
      <c r="D6" s="3" t="inlineStr">
        <is>
          <t>Causa</t>
        </is>
      </c>
      <c r="E6" s="3" t="inlineStr">
        <is>
          <t>Detecção</t>
        </is>
      </c>
      <c r="F6" s="3" t="inlineStr">
        <is>
          <t>Consequências</t>
        </is>
      </c>
      <c r="G6" s="3" t="inlineStr">
        <is>
          <t>P</t>
        </is>
      </c>
      <c r="H6" s="3" t="inlineStr">
        <is>
          <t>S</t>
        </is>
      </c>
      <c r="I6" s="3" t="inlineStr">
        <is>
          <t>Risco</t>
        </is>
      </c>
      <c r="J6" s="3" t="inlineStr">
        <is>
          <t>Providências</t>
        </is>
      </c>
    </row>
    <row r="7" ht="114.75" customHeight="1" s="22">
      <c r="B7" s="36" t="inlineStr">
        <is>
          <t>Substituição</t>
        </is>
      </c>
      <c r="C7" s="7" t="inlineStr">
        <is>
          <t>Um produto errado ser entregue ao cliente</t>
        </is>
      </c>
      <c r="D7" s="7" t="inlineStr">
        <is>
          <t>Troca de produtos</t>
        </is>
      </c>
      <c r="E7" s="7" t="inlineStr">
        <is>
          <t>Duplo check dos produtos</t>
        </is>
      </c>
      <c r="F7" s="7" t="inlineStr">
        <is>
          <t>Perder a confiança do cliente, o cliente devolver a compra, perda financeira, atraso</t>
        </is>
      </c>
      <c r="G7" s="7" t="n">
        <v>1</v>
      </c>
      <c r="H7" s="7" t="n">
        <v>3</v>
      </c>
      <c r="I7" s="8" t="n">
        <v>15</v>
      </c>
      <c r="J7" s="7" t="inlineStr">
        <is>
          <t>Implementar um esquema de monitoramento dos pedidos com dupla checagem para garantir que o cliente não receba errado</t>
        </is>
      </c>
    </row>
    <row r="8" ht="153" customHeight="1" s="22">
      <c r="B8" s="37" t="n"/>
      <c r="C8" s="36" t="inlineStr">
        <is>
          <t>Um produto ser entregue ao cliente errado</t>
        </is>
      </c>
      <c r="D8" s="36" t="inlineStr">
        <is>
          <t>Troca de Clientes</t>
        </is>
      </c>
      <c r="E8" s="36" t="inlineStr">
        <is>
          <t>Verificação do código do cliente</t>
        </is>
      </c>
      <c r="F8" s="36" t="inlineStr">
        <is>
          <t>Perder a confiança do cliente, perda de produtos, porque o cliente que não recebeu precisará receber e nada garante que o que recebeu devolva</t>
        </is>
      </c>
      <c r="G8" s="36" t="n">
        <v>1</v>
      </c>
      <c r="H8" s="36" t="n">
        <v>3</v>
      </c>
      <c r="I8" s="9" t="n">
        <v>15</v>
      </c>
      <c r="J8" s="36" t="inlineStr">
        <is>
          <t>Implementar uma verificação do código do cliente com o pedido realizado.</t>
        </is>
      </c>
    </row>
    <row r="9" ht="15.75" customHeight="1" s="22"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 ht="15.75" customHeight="1" s="22">
      <c r="B10" s="30" t="inlineStr">
        <is>
          <t>Sistema: Emprestimos de Comics books</t>
        </is>
      </c>
      <c r="C10" s="31" t="n"/>
      <c r="D10" s="31" t="n"/>
      <c r="E10" s="31" t="n"/>
      <c r="F10" s="31" t="n"/>
      <c r="G10" s="31" t="n"/>
      <c r="H10" s="31" t="n"/>
      <c r="I10" s="31" t="n"/>
      <c r="J10" s="32" t="n"/>
    </row>
    <row r="11" ht="15.75" customHeight="1" s="22">
      <c r="B11" s="30" t="inlineStr">
        <is>
          <t>Parâmetro: Confiabilidade no Emprestimo</t>
        </is>
      </c>
      <c r="C11" s="31" t="n"/>
      <c r="D11" s="31" t="n"/>
      <c r="E11" s="31" t="n"/>
      <c r="F11" s="31" t="n"/>
      <c r="G11" s="31" t="n"/>
      <c r="H11" s="31" t="n"/>
      <c r="I11" s="31" t="n"/>
      <c r="J11" s="32" t="n"/>
    </row>
    <row r="12" ht="15.75" customHeight="1" s="22">
      <c r="B12" s="38" t="n"/>
      <c r="C12" s="31" t="n"/>
      <c r="D12" s="31" t="n"/>
      <c r="E12" s="31" t="n"/>
      <c r="F12" s="31" t="n"/>
      <c r="G12" s="31" t="n"/>
      <c r="H12" s="31" t="n"/>
      <c r="I12" s="31" t="n"/>
      <c r="J12" s="32" t="n"/>
    </row>
    <row r="13" ht="15.75" customHeight="1" s="22">
      <c r="B13" s="3" t="inlineStr">
        <is>
          <t>Palavra Guia</t>
        </is>
      </c>
      <c r="C13" s="3" t="inlineStr">
        <is>
          <t>Defeito</t>
        </is>
      </c>
      <c r="D13" s="3" t="inlineStr">
        <is>
          <t>Causa</t>
        </is>
      </c>
      <c r="E13" s="3" t="inlineStr">
        <is>
          <t>Detecção</t>
        </is>
      </c>
      <c r="F13" s="3" t="inlineStr">
        <is>
          <t>Consequências</t>
        </is>
      </c>
      <c r="G13" s="3" t="inlineStr">
        <is>
          <t>P</t>
        </is>
      </c>
      <c r="H13" s="3" t="inlineStr">
        <is>
          <t>S</t>
        </is>
      </c>
      <c r="I13" s="3" t="inlineStr">
        <is>
          <t>Risco</t>
        </is>
      </c>
      <c r="J13" s="3" t="inlineStr">
        <is>
          <t>Providências</t>
        </is>
      </c>
    </row>
    <row r="14" ht="114.75" customHeight="1" s="22">
      <c r="B14" s="36" t="inlineStr">
        <is>
          <t>Depois</t>
        </is>
      </c>
      <c r="C14" s="36" t="inlineStr">
        <is>
          <t>O número total de livros não ser atualizado depois que o emprestimo foi devolvido.</t>
        </is>
      </c>
      <c r="D14" s="36" t="inlineStr">
        <is>
          <t>falha na conexão com o BD/ falha na implementação da devolução do comic book</t>
        </is>
      </c>
      <c r="E14" s="36" t="inlineStr">
        <is>
          <t>Monitorar acesso ao BD/ Teste Funcional e Exploratório para devolução de livros</t>
        </is>
      </c>
      <c r="F14" s="36" t="inlineStr">
        <is>
          <t>Não é possivel emprestar o valor atual de livros desponíveis</t>
        </is>
      </c>
      <c r="G14" s="36" t="n">
        <v>3</v>
      </c>
      <c r="H14" s="36" t="n">
        <v>3</v>
      </c>
      <c r="I14" s="10" t="n">
        <v>9</v>
      </c>
      <c r="J14" s="36" t="inlineStr">
        <is>
          <t>Implementar testes de unidade para verificar se atualização do objeto no banco de dados é realizado com sucesso</t>
        </is>
      </c>
    </row>
    <row r="15" ht="15.75" customHeight="1" s="22"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 ht="15.75" customHeight="1" s="22"/>
    <row r="17" ht="15.75" customHeight="1" s="22"/>
    <row r="18" ht="15.75" customHeight="1" s="22"/>
    <row r="19" ht="15.75" customHeight="1" s="22"/>
    <row r="20" ht="15.75" customHeight="1" s="22"/>
    <row r="21" ht="15.75" customHeight="1" s="22"/>
    <row r="22" ht="15.75" customHeight="1" s="22"/>
    <row r="23" ht="15.75" customHeight="1" s="22"/>
    <row r="24" ht="15.75" customHeight="1" s="22"/>
    <row r="25" ht="15.75" customHeight="1" s="22"/>
    <row r="26" ht="15.75" customHeight="1" s="22"/>
    <row r="27" ht="15.75" customHeight="1" s="22"/>
    <row r="28" ht="15.75" customHeight="1" s="22"/>
    <row r="29" ht="15.75" customHeight="1" s="22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mergeCells count="7">
    <mergeCell ref="B11:J11"/>
    <mergeCell ref="B3:J3"/>
    <mergeCell ref="B5:J5"/>
    <mergeCell ref="B10:J10"/>
    <mergeCell ref="B7:B8"/>
    <mergeCell ref="B4:J4"/>
    <mergeCell ref="B12:J12"/>
  </mergeCells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2026-10-15T02:03:59Z</dcterms:created>
  <dcterms:modified xmlns:dcterms="http://purl.org/dc/terms/" xmlns:xsi="http://www.w3.org/2001/XMLSchema-instance" xsi:type="dcterms:W3CDTF">2026-10-19T18:58:45Z</dcterms:modified>
  <cp:lastModifiedBy>Ana Isabella Muniz</cp:lastModifiedBy>
</cp:coreProperties>
</file>